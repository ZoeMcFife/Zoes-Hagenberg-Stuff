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S:\Github\Zoes-Hagenberg-Stuff\Modules\Semester_1\Video Audio Technik\Übungen\UE-2\"/>
    </mc:Choice>
  </mc:AlternateContent>
  <xr:revisionPtr revIDLastSave="0" documentId="13_ncr:1_{410FB1BF-B97D-47C3-8998-352EC0B8582F}" xr6:coauthVersionLast="47" xr6:coauthVersionMax="47" xr10:uidLastSave="{00000000-0000-0000-0000-000000000000}"/>
  <bookViews>
    <workbookView xWindow="-108" yWindow="-108" windowWidth="23256" windowHeight="12456" xr2:uid="{160D2503-3D70-4751-8D09-2D412FD349C3}"/>
  </bookViews>
  <sheets>
    <sheet name="Sheet1" sheetId="1" r:id="rId1"/>
  </sheets>
  <definedNames>
    <definedName name="_xlnm._FilterDatabase" localSheetId="0" hidden="1">Sheet1!$G$4:$G$4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N10" i="1"/>
  <c r="N9" i="1"/>
  <c r="N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W26" i="1"/>
  <c r="W30" i="1" s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Q26" i="1"/>
  <c r="Q30" i="1" s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W5" i="1"/>
  <c r="W9" i="1" s="1"/>
  <c r="N20" i="1"/>
  <c r="N19" i="1"/>
  <c r="N18" i="1"/>
  <c r="N17" i="1"/>
  <c r="N16" i="1"/>
  <c r="N15" i="1"/>
  <c r="N14" i="1"/>
  <c r="N13" i="1"/>
  <c r="N12" i="1"/>
  <c r="N7" i="1"/>
  <c r="N6" i="1"/>
  <c r="Q5" i="1"/>
  <c r="Q9" i="1" s="1"/>
  <c r="H28" i="1"/>
  <c r="H27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6" i="1"/>
  <c r="K5" i="1"/>
  <c r="K9" i="1" s="1"/>
  <c r="W27" i="1" l="1"/>
  <c r="W28" i="1" s="1"/>
  <c r="Q27" i="1"/>
  <c r="Q28" i="1" s="1"/>
  <c r="W6" i="1"/>
  <c r="W7" i="1" s="1"/>
  <c r="Q6" i="1"/>
  <c r="Q7" i="1" s="1"/>
  <c r="K6" i="1"/>
  <c r="K7" i="1" s="1"/>
</calcChain>
</file>

<file path=xl/sharedStrings.xml><?xml version="1.0" encoding="utf-8"?>
<sst xmlns="http://schemas.openxmlformats.org/spreadsheetml/2006/main" count="92" uniqueCount="40">
  <si>
    <t>Component</t>
  </si>
  <si>
    <t>Wattage</t>
  </si>
  <si>
    <t>Allen &amp; Heath iLive IDR-32 MixRack</t>
  </si>
  <si>
    <t>Devices Plugged In</t>
  </si>
  <si>
    <t>#1 JBL EON15 G1 Monitorlautsprecher</t>
  </si>
  <si>
    <t>#2 JBL EON15 G1 Monitorlautsprecher</t>
  </si>
  <si>
    <t>#3 JBL EON15 G1 Monitorlautsprecher</t>
  </si>
  <si>
    <t>#4 JBL EON15 G1 Monitorlautsprecher</t>
  </si>
  <si>
    <t>Marshall VS100 Verstärker + Line6 Firehawk FX</t>
  </si>
  <si>
    <t>Ampeg SVT-7Pro</t>
  </si>
  <si>
    <t>Nord Electro</t>
  </si>
  <si>
    <t>HK E.L.I.A.S + Satallite L</t>
  </si>
  <si>
    <t>HK E.L.I.A.S + Satellite R</t>
  </si>
  <si>
    <t>Used?</t>
  </si>
  <si>
    <t>Allen &amp; Heath iLive T112 Surface</t>
  </si>
  <si>
    <t>Notes</t>
  </si>
  <si>
    <t>Apple Macbook Pro 15”</t>
  </si>
  <si>
    <t>Total Wattage</t>
  </si>
  <si>
    <t>AC Voltage</t>
  </si>
  <si>
    <t>Max Amperage</t>
  </si>
  <si>
    <t>Load Limit</t>
  </si>
  <si>
    <t>SoundDevices 702T</t>
  </si>
  <si>
    <t>Amperage</t>
  </si>
  <si>
    <t>Max Plugs?</t>
  </si>
  <si>
    <t>Cornelius Linus 60-2 UTK</t>
  </si>
  <si>
    <t>#1 Kühlschrank ECO 278</t>
  </si>
  <si>
    <t>#2 Kühlschrank ECO 278</t>
  </si>
  <si>
    <t>Bartscher Heiße Theke 5200 2ER</t>
  </si>
  <si>
    <t>Extensions Needed</t>
  </si>
  <si>
    <t>2 Anschlüsse</t>
  </si>
  <si>
    <t>Load Limit in Watt</t>
  </si>
  <si>
    <t>#1 Eurolite LED KLS Laser Bar FX Light Set L</t>
  </si>
  <si>
    <t>#2 Eurolite LED KLS Laser Bar FX Light Set R</t>
  </si>
  <si>
    <t>#1 Bain-Marie Eco 2/1</t>
  </si>
  <si>
    <t>2# Bain-Marie Eco 2/1</t>
  </si>
  <si>
    <t>Welche Stromkreise sind Nahe der Lastgrenze?</t>
  </si>
  <si>
    <t>Varianten für optimale Lastverteilung</t>
  </si>
  <si>
    <t xml:space="preserve">Audiogeräte sind auf Stromkreis 200.1, 120.3 und 200.4 aufgeteilt.  </t>
  </si>
  <si>
    <t>Somit sind alle drei dieser Stromkreise relativ gleich verteilt. Man könnte noch Audiogeräte auf nur 120.3 und 200.4 stecken, aber man 200.4 würde fast die Lastgrenze erreichen.</t>
  </si>
  <si>
    <r>
      <t xml:space="preserve">Nur Stromkreis </t>
    </r>
    <r>
      <rPr>
        <b/>
        <i/>
        <sz val="11"/>
        <color theme="1"/>
        <rFont val="Bahnschrift"/>
        <family val="2"/>
      </rPr>
      <t>200.5</t>
    </r>
    <r>
      <rPr>
        <i/>
        <sz val="11"/>
        <color theme="1"/>
        <rFont val="Bahnschrift"/>
        <family val="2"/>
      </rPr>
      <t xml:space="preserve"> ist nahe der Lastgrenze, da der Bein-Marie Eco 2/1 sehr viel Strom verbraucht.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</si>
</sst>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\ \W"/>
    <numFmt numFmtId="167" formatCode="0.00\ \V"/>
    <numFmt numFmtId="168" formatCode="0.00\ \A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Bahnschrift"/>
      <family val="2"/>
    </font>
    <font>
      <b/>
      <sz val="11"/>
      <color theme="1"/>
      <name val="Bahnschrift"/>
      <family val="2"/>
    </font>
    <font>
      <i/>
      <sz val="11"/>
      <color theme="1"/>
      <name val="Bahnschrift"/>
      <family val="2"/>
    </font>
    <font>
      <b/>
      <i/>
      <sz val="11"/>
      <color theme="1"/>
      <name val="Bahnschrift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0" fillId="0" borderId="0" xfId="0" applyFill="1"/>
    <xf numFmtId="166" fontId="1" fillId="3" borderId="0" xfId="0" applyNumberFormat="1" applyFont="1" applyFill="1"/>
    <xf numFmtId="166" fontId="1" fillId="4" borderId="0" xfId="0" applyNumberFormat="1" applyFont="1" applyFill="1"/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/>
    <xf numFmtId="166" fontId="1" fillId="8" borderId="0" xfId="0" applyNumberFormat="1" applyFont="1" applyFill="1"/>
    <xf numFmtId="0" fontId="1" fillId="9" borderId="0" xfId="0" applyFont="1" applyFill="1"/>
    <xf numFmtId="0" fontId="1" fillId="8" borderId="0" xfId="0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168" fontId="1" fillId="8" borderId="0" xfId="0" applyNumberFormat="1" applyFont="1" applyFill="1" applyAlignment="1">
      <alignment horizontal="center"/>
    </xf>
    <xf numFmtId="166" fontId="1" fillId="8" borderId="0" xfId="0" applyNumberFormat="1" applyFont="1" applyFill="1" applyAlignment="1">
      <alignment horizontal="center"/>
    </xf>
    <xf numFmtId="168" fontId="1" fillId="9" borderId="0" xfId="0" applyNumberFormat="1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6" formatCode="0.00\ \W"/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DE54C7-86B2-4509-9FEE-1F2149797C53}" name="Table4" displayName="Table4" ref="A1:D27" totalsRowShown="0" headerRowDxfId="12" dataDxfId="11">
  <autoFilter ref="A1:D27" xr:uid="{5ADE54C7-86B2-4509-9FEE-1F2149797C53}"/>
  <tableColumns count="4">
    <tableColumn id="1" xr3:uid="{54872C42-CBAA-49B9-BD4E-3934BF0A13AB}" name="Component" dataDxfId="10"/>
    <tableColumn id="2" xr3:uid="{2BD130B0-A19D-4D62-9207-A51970E35D8C}" name="Wattage" dataDxfId="9"/>
    <tableColumn id="3" xr3:uid="{E44CD87B-48C7-43FB-A265-1016C11F8FDB}" name="Used?" dataDxfId="7">
      <calculatedColumnFormula>IF((COUNTIF($G$6:$G$20,A2)+COUNTIF($M$6:$M$20,A2)+COUNTIF($S$6:$S$20,A2)+COUNTIF($M$27:$M$41,A2)+COUNTIF($S$27:$S$41,A2))&gt;0,"Yes","No")</calculatedColumnFormula>
    </tableColumn>
    <tableColumn id="4" xr3:uid="{67154EC2-2578-4B18-9D87-B7FE0BCEB81A}" name="Not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19E9-BC48-494C-8607-3D694C8955E2}">
  <dimension ref="A1:W41"/>
  <sheetViews>
    <sheetView tabSelected="1" zoomScale="59" zoomScaleNormal="40" workbookViewId="0">
      <selection activeCell="J24" sqref="J24"/>
    </sheetView>
  </sheetViews>
  <sheetFormatPr defaultRowHeight="14.4" x14ac:dyDescent="0.3"/>
  <cols>
    <col min="1" max="1" width="45.21875" bestFit="1" customWidth="1"/>
    <col min="2" max="2" width="11.6640625" bestFit="1" customWidth="1"/>
    <col min="4" max="4" width="13.5546875" bestFit="1" customWidth="1"/>
    <col min="7" max="7" width="45.21875" bestFit="1" customWidth="1"/>
    <col min="8" max="8" width="11.109375" bestFit="1" customWidth="1"/>
    <col min="10" max="10" width="19.5546875" bestFit="1" customWidth="1"/>
    <col min="11" max="11" width="13.33203125" bestFit="1" customWidth="1"/>
    <col min="13" max="13" width="42.77734375" bestFit="1" customWidth="1"/>
    <col min="14" max="14" width="11.77734375" bestFit="1" customWidth="1"/>
    <col min="16" max="16" width="18.88671875" bestFit="1" customWidth="1"/>
    <col min="17" max="17" width="10.44140625" bestFit="1" customWidth="1"/>
    <col min="19" max="19" width="45.77734375" bestFit="1" customWidth="1"/>
    <col min="20" max="20" width="11.77734375" bestFit="1" customWidth="1"/>
    <col min="22" max="22" width="18.88671875" bestFit="1" customWidth="1"/>
    <col min="23" max="23" width="10" bestFit="1" customWidth="1"/>
  </cols>
  <sheetData>
    <row r="1" spans="1:23" x14ac:dyDescent="0.3">
      <c r="A1" s="1" t="s">
        <v>0</v>
      </c>
      <c r="B1" s="1" t="s">
        <v>1</v>
      </c>
      <c r="C1" s="1" t="s">
        <v>13</v>
      </c>
      <c r="D1" s="1" t="s">
        <v>15</v>
      </c>
    </row>
    <row r="2" spans="1:23" x14ac:dyDescent="0.3">
      <c r="A2" s="2" t="s">
        <v>11</v>
      </c>
      <c r="B2" s="7">
        <v>950</v>
      </c>
      <c r="C2" s="2" t="str">
        <f t="shared" ref="C2:C27" si="0">IF((COUNTIF($G$6:$G$20,A2)+COUNTIF($M$6:$M$20,A2)+COUNTIF($S$6:$S$20,A2)+COUNTIF($M$27:$M$41,A2)+COUNTIF($S$27:$S$41,A2))&gt;0,"Yes","No")</f>
        <v>Yes</v>
      </c>
      <c r="D2" s="2"/>
    </row>
    <row r="3" spans="1:23" x14ac:dyDescent="0.3">
      <c r="A3" s="2" t="s">
        <v>12</v>
      </c>
      <c r="B3" s="7">
        <v>950</v>
      </c>
      <c r="C3" s="2" t="str">
        <f t="shared" si="0"/>
        <v>Yes</v>
      </c>
      <c r="D3" s="2"/>
      <c r="H3" s="1" t="s">
        <v>23</v>
      </c>
      <c r="N3" s="1" t="s">
        <v>23</v>
      </c>
      <c r="T3" s="1" t="s">
        <v>23</v>
      </c>
    </row>
    <row r="4" spans="1:23" x14ac:dyDescent="0.3">
      <c r="A4" s="2" t="s">
        <v>2</v>
      </c>
      <c r="B4" s="7">
        <v>160</v>
      </c>
      <c r="C4" s="2" t="str">
        <f t="shared" si="0"/>
        <v>Yes</v>
      </c>
      <c r="D4" s="2"/>
      <c r="G4" s="9">
        <v>200.1</v>
      </c>
      <c r="H4" s="10">
        <v>3</v>
      </c>
      <c r="M4" s="9">
        <v>120.3</v>
      </c>
      <c r="N4" s="10">
        <v>2</v>
      </c>
      <c r="S4" s="9">
        <v>200.4</v>
      </c>
      <c r="T4" s="10">
        <v>2</v>
      </c>
    </row>
    <row r="5" spans="1:23" x14ac:dyDescent="0.3">
      <c r="A5" s="2" t="s">
        <v>4</v>
      </c>
      <c r="B5" s="7">
        <v>175</v>
      </c>
      <c r="C5" s="2" t="str">
        <f t="shared" si="0"/>
        <v>Yes</v>
      </c>
      <c r="D5" s="2"/>
      <c r="G5" s="4" t="s">
        <v>0</v>
      </c>
      <c r="H5" s="4" t="s">
        <v>1</v>
      </c>
      <c r="J5" s="5" t="s">
        <v>3</v>
      </c>
      <c r="K5" s="5">
        <f>COUNTA(G6:G20)</f>
        <v>5</v>
      </c>
      <c r="M5" s="4" t="s">
        <v>0</v>
      </c>
      <c r="N5" s="4" t="s">
        <v>1</v>
      </c>
      <c r="P5" s="5" t="s">
        <v>3</v>
      </c>
      <c r="Q5" s="5">
        <f>COUNTA(M6:M20)</f>
        <v>7</v>
      </c>
      <c r="S5" s="4" t="s">
        <v>0</v>
      </c>
      <c r="T5" s="4" t="s">
        <v>1</v>
      </c>
      <c r="V5" s="5" t="s">
        <v>3</v>
      </c>
      <c r="W5" s="5">
        <f>COUNTA(S6:S20)</f>
        <v>3</v>
      </c>
    </row>
    <row r="6" spans="1:23" x14ac:dyDescent="0.3">
      <c r="A6" s="2" t="s">
        <v>5</v>
      </c>
      <c r="B6" s="7">
        <v>175</v>
      </c>
      <c r="C6" s="2" t="str">
        <f t="shared" si="0"/>
        <v>Yes</v>
      </c>
      <c r="D6" s="2"/>
      <c r="G6" s="3" t="s">
        <v>14</v>
      </c>
      <c r="H6" s="8">
        <f>IF(G6="", 0, VLOOKUP(G6, $A$2:$B$27, 2, FALSE))</f>
        <v>160</v>
      </c>
      <c r="J6" s="11" t="s">
        <v>17</v>
      </c>
      <c r="K6" s="12">
        <f>SUM(H6:H20)</f>
        <v>1290</v>
      </c>
      <c r="M6" s="3" t="s">
        <v>11</v>
      </c>
      <c r="N6" s="8">
        <f>IF(M6="", 0, VLOOKUP(M6, $A$2:$B$27, 2, FALSE))</f>
        <v>950</v>
      </c>
      <c r="P6" s="11" t="s">
        <v>17</v>
      </c>
      <c r="Q6" s="12">
        <f>SUM(N6:N20)</f>
        <v>1725</v>
      </c>
      <c r="S6" s="3" t="s">
        <v>2</v>
      </c>
      <c r="T6" s="8">
        <f>IF(S6="", 0, VLOOKUP(S6, $A$2:$B$27, 2, FALSE))</f>
        <v>160</v>
      </c>
      <c r="V6" s="11" t="s">
        <v>17</v>
      </c>
      <c r="W6" s="12">
        <f>SUM(T6:T20)</f>
        <v>1390</v>
      </c>
    </row>
    <row r="7" spans="1:23" x14ac:dyDescent="0.3">
      <c r="A7" s="2" t="s">
        <v>6</v>
      </c>
      <c r="B7" s="7">
        <v>175</v>
      </c>
      <c r="C7" s="2" t="str">
        <f t="shared" si="0"/>
        <v>Yes</v>
      </c>
      <c r="D7" s="2"/>
      <c r="G7" s="3" t="s">
        <v>16</v>
      </c>
      <c r="H7" s="8">
        <f t="shared" ref="H7:H20" si="1">IF(G7="", 0, VLOOKUP(G7, $A$2:$B$27, 2, FALSE))</f>
        <v>85</v>
      </c>
      <c r="J7" s="13" t="s">
        <v>22</v>
      </c>
      <c r="K7" s="18">
        <f>K6/$H$25</f>
        <v>5.6086956521739131</v>
      </c>
      <c r="M7" s="3" t="s">
        <v>31</v>
      </c>
      <c r="N7" s="8">
        <f t="shared" ref="N7:N20" si="2">IF(M7="", 0, VLOOKUP(M7, $A$2:$B$27, 2, FALSE))</f>
        <v>50</v>
      </c>
      <c r="P7" s="13" t="s">
        <v>22</v>
      </c>
      <c r="Q7" s="18">
        <f>Q6/$H$25</f>
        <v>7.5</v>
      </c>
      <c r="S7" s="3" t="s">
        <v>8</v>
      </c>
      <c r="T7" s="8">
        <f t="shared" ref="T7:T20" si="3">IF(S7="", 0, VLOOKUP(S7, $A$2:$B$27, 2, FALSE))</f>
        <v>180</v>
      </c>
      <c r="V7" s="13" t="s">
        <v>22</v>
      </c>
      <c r="W7" s="18">
        <f>W6/$H$25</f>
        <v>6.0434782608695654</v>
      </c>
    </row>
    <row r="8" spans="1:23" x14ac:dyDescent="0.3">
      <c r="A8" s="2" t="s">
        <v>7</v>
      </c>
      <c r="B8" s="7">
        <v>175</v>
      </c>
      <c r="C8" s="2" t="str">
        <f t="shared" si="0"/>
        <v>Yes</v>
      </c>
      <c r="D8" s="2"/>
      <c r="G8" s="3" t="s">
        <v>21</v>
      </c>
      <c r="H8" s="8">
        <f t="shared" si="1"/>
        <v>45</v>
      </c>
      <c r="M8" s="3" t="s">
        <v>4</v>
      </c>
      <c r="N8" s="8">
        <f>IF(M8="", 0, VLOOKUP(M8, $A$2:$B$27, 2, FALSE))</f>
        <v>175</v>
      </c>
      <c r="S8" s="3" t="s">
        <v>9</v>
      </c>
      <c r="T8" s="8">
        <f t="shared" si="3"/>
        <v>1050</v>
      </c>
    </row>
    <row r="9" spans="1:23" x14ac:dyDescent="0.3">
      <c r="A9" s="2" t="s">
        <v>8</v>
      </c>
      <c r="B9" s="7">
        <v>180</v>
      </c>
      <c r="C9" s="2" t="str">
        <f t="shared" si="0"/>
        <v>Yes</v>
      </c>
      <c r="D9" s="2"/>
      <c r="G9" s="3" t="s">
        <v>12</v>
      </c>
      <c r="H9" s="8">
        <f t="shared" si="1"/>
        <v>950</v>
      </c>
      <c r="J9" s="1" t="s">
        <v>28</v>
      </c>
      <c r="K9" s="1">
        <f>IF(K5&lt;=H4,0,FLOOR(MIN(K5/H4,H4),1))</f>
        <v>1</v>
      </c>
      <c r="M9" s="3" t="s">
        <v>5</v>
      </c>
      <c r="N9" s="8">
        <f>IF(M9="", 0, VLOOKUP(M9, $A$2:$B$27, 2, FALSE))</f>
        <v>175</v>
      </c>
      <c r="P9" s="1" t="s">
        <v>28</v>
      </c>
      <c r="Q9" s="1">
        <f>IF(Q5&lt;=N4,0,FLOOR(MIN(Q5/N4,N4),1))</f>
        <v>2</v>
      </c>
      <c r="S9" s="3"/>
      <c r="T9" s="8">
        <f t="shared" si="3"/>
        <v>0</v>
      </c>
      <c r="V9" s="1" t="s">
        <v>28</v>
      </c>
      <c r="W9" s="1">
        <f>IF(W5&lt;=T4,0,FLOOR(MIN(W5/T4,T4),1))</f>
        <v>1</v>
      </c>
    </row>
    <row r="10" spans="1:23" x14ac:dyDescent="0.3">
      <c r="A10" s="2" t="s">
        <v>9</v>
      </c>
      <c r="B10" s="7">
        <v>1050</v>
      </c>
      <c r="C10" s="2" t="str">
        <f t="shared" si="0"/>
        <v>Yes</v>
      </c>
      <c r="D10" s="2"/>
      <c r="G10" s="3" t="s">
        <v>32</v>
      </c>
      <c r="H10" s="8">
        <f t="shared" si="1"/>
        <v>50</v>
      </c>
      <c r="M10" s="3" t="s">
        <v>6</v>
      </c>
      <c r="N10" s="8">
        <f>IF(M10="", 0, VLOOKUP(M10, $A$2:$B$27, 2, FALSE))</f>
        <v>175</v>
      </c>
      <c r="S10" s="3"/>
      <c r="T10" s="8">
        <f t="shared" si="3"/>
        <v>0</v>
      </c>
    </row>
    <row r="11" spans="1:23" x14ac:dyDescent="0.3">
      <c r="A11" s="2" t="s">
        <v>10</v>
      </c>
      <c r="B11" s="7">
        <v>25</v>
      </c>
      <c r="C11" s="2" t="str">
        <f t="shared" si="0"/>
        <v>Yes</v>
      </c>
      <c r="D11" s="2"/>
      <c r="G11" s="3"/>
      <c r="H11" s="8">
        <f>IF(G11="", 0, VLOOKUP(G11, $A$2:$B$27, 2, FALSE))</f>
        <v>0</v>
      </c>
      <c r="M11" s="3" t="s">
        <v>7</v>
      </c>
      <c r="N11" s="8">
        <f>IF(M11="", 0, VLOOKUP(M11, $A$2:$B$27, 2, FALSE))</f>
        <v>175</v>
      </c>
      <c r="S11" s="3"/>
      <c r="T11" s="8">
        <f t="shared" si="3"/>
        <v>0</v>
      </c>
    </row>
    <row r="12" spans="1:23" x14ac:dyDescent="0.3">
      <c r="A12" s="2" t="s">
        <v>14</v>
      </c>
      <c r="B12" s="7">
        <v>160</v>
      </c>
      <c r="C12" s="2" t="str">
        <f t="shared" si="0"/>
        <v>Yes</v>
      </c>
      <c r="D12" s="2"/>
      <c r="G12" s="3"/>
      <c r="H12" s="8">
        <f>IF(G12="", 0, VLOOKUP(G12, $A$2:$B$27, 2, FALSE))</f>
        <v>0</v>
      </c>
      <c r="M12" s="3" t="s">
        <v>10</v>
      </c>
      <c r="N12" s="8">
        <f t="shared" si="2"/>
        <v>25</v>
      </c>
      <c r="S12" s="3"/>
      <c r="T12" s="8">
        <f t="shared" si="3"/>
        <v>0</v>
      </c>
    </row>
    <row r="13" spans="1:23" x14ac:dyDescent="0.3">
      <c r="A13" s="2" t="s">
        <v>16</v>
      </c>
      <c r="B13" s="7">
        <v>85</v>
      </c>
      <c r="C13" s="2" t="str">
        <f t="shared" si="0"/>
        <v>Yes</v>
      </c>
      <c r="D13" s="2"/>
      <c r="G13" s="3"/>
      <c r="H13" s="8">
        <f>IF(G13="", 0, VLOOKUP(G13, $A$2:$B$27, 2, FALSE))</f>
        <v>0</v>
      </c>
      <c r="M13" s="3"/>
      <c r="N13" s="8">
        <f t="shared" si="2"/>
        <v>0</v>
      </c>
      <c r="S13" s="3"/>
      <c r="T13" s="8">
        <f t="shared" si="3"/>
        <v>0</v>
      </c>
    </row>
    <row r="14" spans="1:23" x14ac:dyDescent="0.3">
      <c r="A14" s="2" t="s">
        <v>21</v>
      </c>
      <c r="B14" s="7">
        <v>45</v>
      </c>
      <c r="C14" s="2" t="str">
        <f t="shared" si="0"/>
        <v>Yes</v>
      </c>
      <c r="D14" s="2"/>
      <c r="G14" s="3"/>
      <c r="H14" s="8">
        <f>IF(G14="", 0, VLOOKUP(G14, $A$2:$B$27, 2, FALSE))</f>
        <v>0</v>
      </c>
      <c r="M14" s="3"/>
      <c r="N14" s="8">
        <f t="shared" si="2"/>
        <v>0</v>
      </c>
      <c r="S14" s="3"/>
      <c r="T14" s="8">
        <f t="shared" si="3"/>
        <v>0</v>
      </c>
    </row>
    <row r="15" spans="1:23" x14ac:dyDescent="0.3">
      <c r="A15" s="2" t="s">
        <v>31</v>
      </c>
      <c r="B15" s="7">
        <v>50</v>
      </c>
      <c r="C15" s="2" t="str">
        <f t="shared" si="0"/>
        <v>Yes</v>
      </c>
      <c r="D15" s="2"/>
      <c r="G15" s="3"/>
      <c r="H15" s="8">
        <f t="shared" si="1"/>
        <v>0</v>
      </c>
      <c r="M15" s="3"/>
      <c r="N15" s="8">
        <f t="shared" si="2"/>
        <v>0</v>
      </c>
      <c r="S15" s="3"/>
      <c r="T15" s="8">
        <f t="shared" si="3"/>
        <v>0</v>
      </c>
    </row>
    <row r="16" spans="1:23" x14ac:dyDescent="0.3">
      <c r="A16" s="2" t="s">
        <v>32</v>
      </c>
      <c r="B16" s="7">
        <v>50</v>
      </c>
      <c r="C16" s="2" t="str">
        <f t="shared" si="0"/>
        <v>Yes</v>
      </c>
      <c r="D16" s="2"/>
      <c r="G16" s="3"/>
      <c r="H16" s="8">
        <f t="shared" si="1"/>
        <v>0</v>
      </c>
      <c r="M16" s="3"/>
      <c r="N16" s="8">
        <f t="shared" si="2"/>
        <v>0</v>
      </c>
      <c r="S16" s="3"/>
      <c r="T16" s="8">
        <f t="shared" si="3"/>
        <v>0</v>
      </c>
    </row>
    <row r="17" spans="1:23" x14ac:dyDescent="0.3">
      <c r="A17" s="2" t="s">
        <v>24</v>
      </c>
      <c r="B17" s="7">
        <v>450</v>
      </c>
      <c r="C17" s="2" t="str">
        <f t="shared" si="0"/>
        <v>Yes</v>
      </c>
      <c r="D17" s="2"/>
      <c r="G17" s="3"/>
      <c r="H17" s="8">
        <f t="shared" si="1"/>
        <v>0</v>
      </c>
      <c r="M17" s="3"/>
      <c r="N17" s="8">
        <f t="shared" si="2"/>
        <v>0</v>
      </c>
      <c r="S17" s="3"/>
      <c r="T17" s="8">
        <f t="shared" si="3"/>
        <v>0</v>
      </c>
    </row>
    <row r="18" spans="1:23" x14ac:dyDescent="0.3">
      <c r="A18" s="2" t="s">
        <v>25</v>
      </c>
      <c r="B18" s="7">
        <v>210</v>
      </c>
      <c r="C18" s="2" t="str">
        <f t="shared" si="0"/>
        <v>Yes</v>
      </c>
      <c r="D18" s="2"/>
      <c r="G18" s="3"/>
      <c r="H18" s="8">
        <f t="shared" si="1"/>
        <v>0</v>
      </c>
      <c r="M18" s="3"/>
      <c r="N18" s="8">
        <f t="shared" si="2"/>
        <v>0</v>
      </c>
      <c r="S18" s="3"/>
      <c r="T18" s="8">
        <f t="shared" si="3"/>
        <v>0</v>
      </c>
    </row>
    <row r="19" spans="1:23" x14ac:dyDescent="0.3">
      <c r="A19" s="2" t="s">
        <v>26</v>
      </c>
      <c r="B19" s="7">
        <v>210</v>
      </c>
      <c r="C19" s="2" t="str">
        <f t="shared" si="0"/>
        <v>Yes</v>
      </c>
      <c r="D19" s="2"/>
      <c r="G19" s="3"/>
      <c r="H19" s="8">
        <f t="shared" si="1"/>
        <v>0</v>
      </c>
      <c r="M19" s="3"/>
      <c r="N19" s="8">
        <f t="shared" si="2"/>
        <v>0</v>
      </c>
      <c r="S19" s="3"/>
      <c r="T19" s="8">
        <f t="shared" si="3"/>
        <v>0</v>
      </c>
    </row>
    <row r="20" spans="1:23" x14ac:dyDescent="0.3">
      <c r="A20" s="2" t="s">
        <v>33</v>
      </c>
      <c r="B20" s="7">
        <v>1200</v>
      </c>
      <c r="C20" s="2" t="str">
        <f t="shared" si="0"/>
        <v>Yes</v>
      </c>
      <c r="D20" s="2" t="s">
        <v>29</v>
      </c>
      <c r="G20" s="3"/>
      <c r="H20" s="8">
        <f t="shared" si="1"/>
        <v>0</v>
      </c>
      <c r="M20" s="3"/>
      <c r="N20" s="8">
        <f t="shared" si="2"/>
        <v>0</v>
      </c>
      <c r="S20" s="3"/>
      <c r="T20" s="8">
        <f t="shared" si="3"/>
        <v>0</v>
      </c>
    </row>
    <row r="21" spans="1:23" x14ac:dyDescent="0.3">
      <c r="A21" s="2" t="s">
        <v>27</v>
      </c>
      <c r="B21" s="7">
        <v>800</v>
      </c>
      <c r="C21" s="2" t="str">
        <f t="shared" si="0"/>
        <v>Yes</v>
      </c>
      <c r="D21" s="2"/>
      <c r="H21" s="6"/>
    </row>
    <row r="22" spans="1:23" x14ac:dyDescent="0.3">
      <c r="A22" s="2" t="s">
        <v>34</v>
      </c>
      <c r="B22" s="7">
        <v>1200</v>
      </c>
      <c r="C22" s="2" t="str">
        <f t="shared" si="0"/>
        <v>Yes</v>
      </c>
      <c r="D22" s="2" t="s">
        <v>29</v>
      </c>
      <c r="H22" s="6"/>
    </row>
    <row r="23" spans="1:23" x14ac:dyDescent="0.3">
      <c r="A23" s="2"/>
      <c r="B23" s="7"/>
      <c r="C23" s="2" t="str">
        <f t="shared" si="0"/>
        <v>No</v>
      </c>
      <c r="D23" s="2"/>
    </row>
    <row r="24" spans="1:23" x14ac:dyDescent="0.3">
      <c r="A24" s="2"/>
      <c r="B24" s="7"/>
      <c r="C24" s="2" t="str">
        <f t="shared" si="0"/>
        <v>No</v>
      </c>
      <c r="D24" s="2"/>
      <c r="N24" s="1" t="s">
        <v>23</v>
      </c>
      <c r="T24" s="1" t="s">
        <v>23</v>
      </c>
    </row>
    <row r="25" spans="1:23" x14ac:dyDescent="0.3">
      <c r="A25" s="2"/>
      <c r="B25" s="7"/>
      <c r="C25" s="2" t="str">
        <f t="shared" si="0"/>
        <v>No</v>
      </c>
      <c r="D25" s="2"/>
      <c r="G25" s="14" t="s">
        <v>18</v>
      </c>
      <c r="H25" s="15">
        <v>230</v>
      </c>
      <c r="M25" s="9">
        <v>200.5</v>
      </c>
      <c r="N25" s="10">
        <v>4</v>
      </c>
      <c r="S25" s="9">
        <v>200.6</v>
      </c>
      <c r="T25" s="10">
        <v>2</v>
      </c>
    </row>
    <row r="26" spans="1:23" x14ac:dyDescent="0.3">
      <c r="A26" s="2"/>
      <c r="B26" s="7"/>
      <c r="C26" s="2" t="str">
        <f t="shared" si="0"/>
        <v>No</v>
      </c>
      <c r="D26" s="2"/>
      <c r="G26" s="14" t="s">
        <v>19</v>
      </c>
      <c r="H26" s="16">
        <v>16</v>
      </c>
      <c r="M26" s="4" t="s">
        <v>0</v>
      </c>
      <c r="N26" s="4" t="s">
        <v>1</v>
      </c>
      <c r="P26" s="5" t="s">
        <v>3</v>
      </c>
      <c r="Q26" s="5">
        <f>COUNTA(M27:M41)</f>
        <v>2</v>
      </c>
      <c r="S26" s="4" t="s">
        <v>0</v>
      </c>
      <c r="T26" s="4" t="s">
        <v>1</v>
      </c>
      <c r="V26" s="5" t="s">
        <v>3</v>
      </c>
      <c r="W26" s="5">
        <f>COUNTA(S27:S41)</f>
        <v>4</v>
      </c>
    </row>
    <row r="27" spans="1:23" x14ac:dyDescent="0.3">
      <c r="A27" s="2"/>
      <c r="B27" s="7"/>
      <c r="C27" s="2" t="str">
        <f t="shared" si="0"/>
        <v>No</v>
      </c>
      <c r="D27" s="2"/>
      <c r="G27" s="14" t="s">
        <v>20</v>
      </c>
      <c r="H27" s="16">
        <f>0.7*H26</f>
        <v>11.2</v>
      </c>
      <c r="M27" s="3" t="s">
        <v>33</v>
      </c>
      <c r="N27" s="8">
        <f>IF(M27="", 0, VLOOKUP(M27, $A$2:$B$27, 2, FALSE))</f>
        <v>1200</v>
      </c>
      <c r="P27" s="11" t="s">
        <v>17</v>
      </c>
      <c r="Q27" s="12">
        <f>SUM(N27:N41)</f>
        <v>2400</v>
      </c>
      <c r="S27" s="3" t="s">
        <v>27</v>
      </c>
      <c r="T27" s="8">
        <f>IF(S27="", 0, VLOOKUP(S27, $A$2:$B$27, 2, FALSE))</f>
        <v>800</v>
      </c>
      <c r="V27" s="11" t="s">
        <v>17</v>
      </c>
      <c r="W27" s="12">
        <f>SUM(T27:T41)</f>
        <v>1670</v>
      </c>
    </row>
    <row r="28" spans="1:23" x14ac:dyDescent="0.3">
      <c r="G28" s="14" t="s">
        <v>30</v>
      </c>
      <c r="H28" s="17">
        <f>H25*H27</f>
        <v>2576</v>
      </c>
      <c r="M28" s="3" t="s">
        <v>34</v>
      </c>
      <c r="N28" s="8">
        <f t="shared" ref="N28:N41" si="4">IF(M28="", 0, VLOOKUP(M28, $A$2:$B$27, 2, FALSE))</f>
        <v>1200</v>
      </c>
      <c r="P28" s="13" t="s">
        <v>22</v>
      </c>
      <c r="Q28" s="18">
        <f>Q27/$H$25</f>
        <v>10.434782608695652</v>
      </c>
      <c r="S28" s="3" t="s">
        <v>24</v>
      </c>
      <c r="T28" s="8">
        <f t="shared" ref="T28:T41" si="5">IF(S28="", 0, VLOOKUP(S28, $A$2:$B$27, 2, FALSE))</f>
        <v>450</v>
      </c>
      <c r="V28" s="13" t="s">
        <v>22</v>
      </c>
      <c r="W28" s="18">
        <f>W27/$H$25</f>
        <v>7.2608695652173916</v>
      </c>
    </row>
    <row r="29" spans="1:23" x14ac:dyDescent="0.3">
      <c r="M29" s="3"/>
      <c r="N29" s="8">
        <f t="shared" si="4"/>
        <v>0</v>
      </c>
      <c r="S29" s="3" t="s">
        <v>25</v>
      </c>
      <c r="T29" s="8">
        <f t="shared" si="5"/>
        <v>210</v>
      </c>
    </row>
    <row r="30" spans="1:23" x14ac:dyDescent="0.3">
      <c r="M30" s="3"/>
      <c r="N30" s="8">
        <f t="shared" si="4"/>
        <v>0</v>
      </c>
      <c r="P30" s="1" t="s">
        <v>28</v>
      </c>
      <c r="Q30" s="1">
        <f>IF(Q26&lt;=N25,0,FLOOR(MIN(Q26/N25,N25),1))</f>
        <v>0</v>
      </c>
      <c r="S30" s="3" t="s">
        <v>26</v>
      </c>
      <c r="T30" s="8">
        <f t="shared" si="5"/>
        <v>210</v>
      </c>
      <c r="V30" s="1" t="s">
        <v>28</v>
      </c>
      <c r="W30" s="1">
        <f>IF(W26&lt;=T25,0,FLOOR(MIN(W26/T25,T25),1))</f>
        <v>2</v>
      </c>
    </row>
    <row r="31" spans="1:23" x14ac:dyDescent="0.3">
      <c r="A31" s="19" t="s">
        <v>35</v>
      </c>
      <c r="M31" s="3"/>
      <c r="N31" s="8">
        <f t="shared" si="4"/>
        <v>0</v>
      </c>
      <c r="S31" s="3"/>
      <c r="T31" s="8">
        <f t="shared" si="5"/>
        <v>0</v>
      </c>
    </row>
    <row r="32" spans="1:23" x14ac:dyDescent="0.3">
      <c r="A32" s="20" t="s">
        <v>39</v>
      </c>
      <c r="M32" s="3"/>
      <c r="N32" s="8">
        <f t="shared" si="4"/>
        <v>0</v>
      </c>
      <c r="S32" s="3"/>
      <c r="T32" s="8">
        <f t="shared" si="5"/>
        <v>0</v>
      </c>
    </row>
    <row r="33" spans="1:20" x14ac:dyDescent="0.3">
      <c r="M33" s="3"/>
      <c r="N33" s="8">
        <f t="shared" si="4"/>
        <v>0</v>
      </c>
      <c r="S33" s="3"/>
      <c r="T33" s="8">
        <f t="shared" si="5"/>
        <v>0</v>
      </c>
    </row>
    <row r="34" spans="1:20" x14ac:dyDescent="0.3">
      <c r="A34" s="19" t="s">
        <v>36</v>
      </c>
      <c r="M34" s="3"/>
      <c r="N34" s="8">
        <f t="shared" si="4"/>
        <v>0</v>
      </c>
      <c r="S34" s="3"/>
      <c r="T34" s="8">
        <f t="shared" si="5"/>
        <v>0</v>
      </c>
    </row>
    <row r="35" spans="1:20" x14ac:dyDescent="0.3">
      <c r="A35" s="20" t="s">
        <v>37</v>
      </c>
      <c r="M35" s="3"/>
      <c r="N35" s="8">
        <f t="shared" si="4"/>
        <v>0</v>
      </c>
      <c r="S35" s="3"/>
      <c r="T35" s="8">
        <f t="shared" si="5"/>
        <v>0</v>
      </c>
    </row>
    <row r="36" spans="1:20" x14ac:dyDescent="0.3">
      <c r="A36" s="20" t="s">
        <v>38</v>
      </c>
      <c r="M36" s="3"/>
      <c r="N36" s="8">
        <f t="shared" si="4"/>
        <v>0</v>
      </c>
      <c r="S36" s="3"/>
      <c r="T36" s="8">
        <f t="shared" si="5"/>
        <v>0</v>
      </c>
    </row>
    <row r="37" spans="1:20" x14ac:dyDescent="0.3">
      <c r="M37" s="3"/>
      <c r="N37" s="8">
        <f t="shared" si="4"/>
        <v>0</v>
      </c>
      <c r="S37" s="3"/>
      <c r="T37" s="8">
        <f t="shared" si="5"/>
        <v>0</v>
      </c>
    </row>
    <row r="38" spans="1:20" x14ac:dyDescent="0.3">
      <c r="M38" s="3"/>
      <c r="N38" s="8">
        <f t="shared" si="4"/>
        <v>0</v>
      </c>
      <c r="S38" s="3"/>
      <c r="T38" s="8">
        <f t="shared" si="5"/>
        <v>0</v>
      </c>
    </row>
    <row r="39" spans="1:20" x14ac:dyDescent="0.3">
      <c r="M39" s="3"/>
      <c r="N39" s="8">
        <f t="shared" si="4"/>
        <v>0</v>
      </c>
      <c r="S39" s="3"/>
      <c r="T39" s="8">
        <f t="shared" si="5"/>
        <v>0</v>
      </c>
    </row>
    <row r="40" spans="1:20" x14ac:dyDescent="0.3">
      <c r="M40" s="3"/>
      <c r="N40" s="8">
        <f t="shared" si="4"/>
        <v>0</v>
      </c>
      <c r="S40" s="3"/>
      <c r="T40" s="8">
        <f t="shared" si="5"/>
        <v>0</v>
      </c>
    </row>
    <row r="41" spans="1:20" x14ac:dyDescent="0.3">
      <c r="M41" s="3"/>
      <c r="N41" s="8">
        <f t="shared" si="4"/>
        <v>0</v>
      </c>
      <c r="S41" s="3"/>
      <c r="T41" s="8">
        <f t="shared" si="5"/>
        <v>0</v>
      </c>
    </row>
  </sheetData>
  <conditionalFormatting sqref="K7">
    <cfRule type="cellIs" dxfId="6" priority="7" operator="greaterThanOrEqual">
      <formula>$H$27</formula>
    </cfRule>
  </conditionalFormatting>
  <conditionalFormatting sqref="Q7">
    <cfRule type="cellIs" dxfId="5" priority="6" operator="greaterThanOrEqual">
      <formula>$H$27</formula>
    </cfRule>
  </conditionalFormatting>
  <conditionalFormatting sqref="W7">
    <cfRule type="cellIs" dxfId="4" priority="5" operator="greaterThanOrEqual">
      <formula>$H$27</formula>
    </cfRule>
  </conditionalFormatting>
  <conditionalFormatting sqref="Q28">
    <cfRule type="cellIs" dxfId="3" priority="4" operator="greaterThanOrEqual">
      <formula>$H$27</formula>
    </cfRule>
  </conditionalFormatting>
  <conditionalFormatting sqref="W28">
    <cfRule type="cellIs" dxfId="2" priority="3" operator="greaterThanOrEqual">
      <formula>$H$27</formula>
    </cfRule>
  </conditionalFormatting>
  <conditionalFormatting sqref="C2:C27">
    <cfRule type="cellIs" dxfId="1" priority="1" operator="equal">
      <formula>"No"</formula>
    </cfRule>
    <cfRule type="cellIs" dxfId="0" priority="2" operator="equal">
      <formula>"Yes"</formula>
    </cfRule>
  </conditionalFormatting>
  <dataValidations count="1">
    <dataValidation type="list" allowBlank="1" showInputMessage="1" showErrorMessage="1" promptTitle="Select Component" sqref="G6:G20 M6:M20 S6:S20 M27:M41 S27:S41" xr:uid="{D0693460-898E-4E5D-B2B7-72025AA7C7E3}">
      <formula1>$A$2:$A$27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36A859-0771-4440-B04F-4A34611FDB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Zoe McFife</dc:creator>
  <cp:keywords/>
  <dc:description/>
  <cp:lastModifiedBy>Zoe McFife</cp:lastModifiedBy>
  <cp:revision/>
  <dcterms:created xsi:type="dcterms:W3CDTF">2025-10-17T14:25:24Z</dcterms:created>
  <dcterms:modified xsi:type="dcterms:W3CDTF">2025-10-17T16:02:15Z</dcterms:modified>
  <cp:category/>
  <cp:contentStatus/>
</cp:coreProperties>
</file>