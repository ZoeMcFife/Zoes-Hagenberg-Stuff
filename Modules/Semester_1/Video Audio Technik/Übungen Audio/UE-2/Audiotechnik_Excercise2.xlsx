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R:\GitHub\Zoes-Hagenberg-Stuff\Modules\Semester_1\Video Audio Technik\Übungen\UE-2\"/>
    </mc:Choice>
  </mc:AlternateContent>
  <xr:revisionPtr revIDLastSave="0" documentId="13_ncr:1_{9012E439-FFA2-40A3-90EA-A86C4309AC2E}" xr6:coauthVersionLast="47" xr6:coauthVersionMax="47" xr10:uidLastSave="{00000000-0000-0000-0000-000000000000}"/>
  <bookViews>
    <workbookView xWindow="28680" yWindow="-120" windowWidth="29040" windowHeight="15720" xr2:uid="{160D2503-3D70-4751-8D09-2D412FD349C3}"/>
  </bookViews>
  <sheets>
    <sheet name="Sheet1" sheetId="1" r:id="rId1"/>
  </sheets>
  <definedNames>
    <definedName name="_xlnm._FilterDatabase" localSheetId="0" hidden="1">Sheet1!$A$41:$A$41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7" i="1"/>
  <c r="H46" i="1"/>
  <c r="H4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E82" i="1"/>
  <c r="E86" i="1" s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K62" i="1"/>
  <c r="K66" i="1" s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E62" i="1"/>
  <c r="E66" i="1" s="1"/>
  <c r="H57" i="1"/>
  <c r="H56" i="1"/>
  <c r="H55" i="1"/>
  <c r="H54" i="1"/>
  <c r="H53" i="1"/>
  <c r="H52" i="1"/>
  <c r="H51" i="1"/>
  <c r="H50" i="1"/>
  <c r="H49" i="1"/>
  <c r="H44" i="1"/>
  <c r="H43" i="1"/>
  <c r="K42" i="1"/>
  <c r="K46" i="1" s="1"/>
  <c r="H27" i="1"/>
  <c r="H28" i="1" s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43" i="1"/>
  <c r="E42" i="1"/>
  <c r="E46" i="1" s="1"/>
  <c r="E83" i="1" l="1"/>
  <c r="E84" i="1" s="1"/>
  <c r="K63" i="1"/>
  <c r="K64" i="1" s="1"/>
  <c r="E63" i="1"/>
  <c r="E64" i="1" s="1"/>
  <c r="K43" i="1"/>
  <c r="K44" i="1" s="1"/>
  <c r="E43" i="1"/>
  <c r="E44" i="1" s="1"/>
</calcChain>
</file>

<file path=xl/sharedStrings.xml><?xml version="1.0" encoding="utf-8"?>
<sst xmlns="http://schemas.openxmlformats.org/spreadsheetml/2006/main" count="92" uniqueCount="40">
  <si>
    <t>Component</t>
  </si>
  <si>
    <t>Wattage</t>
  </si>
  <si>
    <t>Allen &amp; Heath iLive IDR-32 MixRack</t>
  </si>
  <si>
    <t>Devices Plugged In</t>
  </si>
  <si>
    <t>#1 JBL EON15 G1 Monitorlautsprecher</t>
  </si>
  <si>
    <t>#2 JBL EON15 G1 Monitorlautsprecher</t>
  </si>
  <si>
    <t>#3 JBL EON15 G1 Monitorlautsprecher</t>
  </si>
  <si>
    <t>#4 JBL EON15 G1 Monitorlautsprecher</t>
  </si>
  <si>
    <t>Marshall VS100 Verstärker + Line6 Firehawk FX</t>
  </si>
  <si>
    <t>Ampeg SVT-7Pro</t>
  </si>
  <si>
    <t>Nord Electro</t>
  </si>
  <si>
    <t>HK E.L.I.A.S + Satallite L</t>
  </si>
  <si>
    <t>HK E.L.I.A.S + Satellite R</t>
  </si>
  <si>
    <t>Used?</t>
  </si>
  <si>
    <t>Allen &amp; Heath iLive T112 Surface</t>
  </si>
  <si>
    <t>Notes</t>
  </si>
  <si>
    <t>Apple Macbook Pro 15”</t>
  </si>
  <si>
    <t>Total Wattage</t>
  </si>
  <si>
    <t>AC Voltage</t>
  </si>
  <si>
    <t>Max Amperage</t>
  </si>
  <si>
    <t>Load Limit</t>
  </si>
  <si>
    <t>SoundDevices 702T</t>
  </si>
  <si>
    <t>Amperage</t>
  </si>
  <si>
    <t>Max Plugs?</t>
  </si>
  <si>
    <t>Cornelius Linus 60-2 UTK</t>
  </si>
  <si>
    <t>#1 Kühlschrank ECO 278</t>
  </si>
  <si>
    <t>#2 Kühlschrank ECO 278</t>
  </si>
  <si>
    <t>Bartscher Heiße Theke 5200 2ER</t>
  </si>
  <si>
    <t>Extensions Needed</t>
  </si>
  <si>
    <t>2 Anschlüsse</t>
  </si>
  <si>
    <t>Load Limit in Watt</t>
  </si>
  <si>
    <t>#1 Eurolite LED KLS Laser Bar FX Light Set L</t>
  </si>
  <si>
    <t>#2 Eurolite LED KLS Laser Bar FX Light Set R</t>
  </si>
  <si>
    <t>#1 Bain-Marie Eco 2/1</t>
  </si>
  <si>
    <t>2# Bain-Marie Eco 2/1</t>
  </si>
  <si>
    <t>Welche Stromkreise sind Nahe der Lastgrenze?</t>
  </si>
  <si>
    <t>Varianten für optimale Lastverteilung</t>
  </si>
  <si>
    <t xml:space="preserve">Audiogeräte sind auf Stromkreis 200.1, 120.3 und 200.4 aufgeteilt.  </t>
  </si>
  <si>
    <t>Somit sind alle drei dieser Stromkreise relativ gleich verteilt. Man könnte noch Audiogeräte auf nur 120.3 und 200.4 stecken, aber man 200.4 würde fast die Lastgrenze erreichen.</t>
  </si>
  <si>
    <r>
      <t xml:space="preserve">Nur Stromkreis </t>
    </r>
    <r>
      <rPr>
        <b/>
        <i/>
        <sz val="11"/>
        <color theme="1"/>
        <rFont val="Bahnschrift"/>
        <family val="2"/>
      </rPr>
      <t>200.5</t>
    </r>
    <r>
      <rPr>
        <i/>
        <sz val="11"/>
        <color theme="1"/>
        <rFont val="Bahnschrift"/>
        <family val="2"/>
      </rPr>
      <t xml:space="preserve"> ist nahe der Lastgrenze, da der Bein-Marie Eco 2/1 sehr viel Strom verbraucht.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</si>
</sst>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 \W"/>
    <numFmt numFmtId="165" formatCode="0.00\ \V"/>
    <numFmt numFmtId="166" formatCode="0.00\ \A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Bahnschrift"/>
      <family val="2"/>
    </font>
    <font>
      <b/>
      <sz val="11"/>
      <color theme="1"/>
      <name val="Bahnschrift"/>
      <family val="2"/>
    </font>
    <font>
      <i/>
      <sz val="11"/>
      <color theme="1"/>
      <name val="Bahnschrift"/>
      <family val="2"/>
    </font>
    <font>
      <b/>
      <i/>
      <sz val="11"/>
      <color theme="1"/>
      <name val="Bahnschrift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164" fontId="1" fillId="3" borderId="0" xfId="0" applyNumberFormat="1" applyFont="1" applyFill="1"/>
    <xf numFmtId="164" fontId="1" fillId="4" borderId="0" xfId="0" applyNumberFormat="1" applyFont="1" applyFill="1"/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/>
    <xf numFmtId="164" fontId="1" fillId="8" borderId="0" xfId="0" applyNumberFormat="1" applyFont="1" applyFill="1"/>
    <xf numFmtId="0" fontId="1" fillId="9" borderId="0" xfId="0" applyFont="1" applyFill="1"/>
    <xf numFmtId="0" fontId="1" fillId="8" borderId="0" xfId="0" applyFont="1" applyFill="1" applyAlignment="1">
      <alignment horizontal="center"/>
    </xf>
    <xf numFmtId="165" fontId="1" fillId="8" borderId="0" xfId="0" applyNumberFormat="1" applyFont="1" applyFill="1" applyAlignment="1">
      <alignment horizontal="center"/>
    </xf>
    <xf numFmtId="166" fontId="1" fillId="8" borderId="0" xfId="0" applyNumberFormat="1" applyFont="1" applyFill="1" applyAlignment="1">
      <alignment horizontal="center"/>
    </xf>
    <xf numFmtId="164" fontId="1" fillId="8" borderId="0" xfId="0" applyNumberFormat="1" applyFont="1" applyFill="1" applyAlignment="1">
      <alignment horizontal="center"/>
    </xf>
    <xf numFmtId="166" fontId="1" fillId="9" borderId="0" xfId="0" applyNumberFormat="1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0.00\ \W"/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DE54C7-86B2-4509-9FEE-1F2149797C53}" name="Table4" displayName="Table4" ref="A1:D27" totalsRowShown="0" headerRowDxfId="12" dataDxfId="11">
  <autoFilter ref="A1:D27" xr:uid="{5ADE54C7-86B2-4509-9FEE-1F2149797C53}"/>
  <tableColumns count="4">
    <tableColumn id="1" xr3:uid="{54872C42-CBAA-49B9-BD4E-3934BF0A13AB}" name="Component" dataDxfId="10"/>
    <tableColumn id="2" xr3:uid="{2BD130B0-A19D-4D62-9207-A51970E35D8C}" name="Wattage" dataDxfId="9"/>
    <tableColumn id="3" xr3:uid="{E44CD87B-48C7-43FB-A265-1016C11F8FDB}" name="Used?" dataDxfId="8">
      <calculatedColumnFormula>IF((COUNTIF($A$43:$A$57,A2)+COUNTIF($G$43:$G$57,A2)+COUNTIF($A$63:$A$77,A2)+COUNTIF($G$63:$G$77,A2)+COUNTIF($A$83:$A$97,A2))&gt;0,"Yes","No")</calculatedColumnFormula>
    </tableColumn>
    <tableColumn id="4" xr3:uid="{67154EC2-2578-4B18-9D87-B7FE0BCEB81A}" name="Note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19E9-BC48-494C-8607-3D694C8955E2}">
  <dimension ref="A1:K97"/>
  <sheetViews>
    <sheetView tabSelected="1" topLeftCell="A10" zoomScale="115" zoomScaleNormal="115" workbookViewId="0">
      <selection activeCell="A34" sqref="A34:A36"/>
    </sheetView>
  </sheetViews>
  <sheetFormatPr defaultRowHeight="15" x14ac:dyDescent="0.25"/>
  <cols>
    <col min="1" max="1" width="47.85546875" customWidth="1"/>
    <col min="2" max="2" width="15.85546875" bestFit="1" customWidth="1"/>
    <col min="3" max="3" width="13.42578125" bestFit="1" customWidth="1"/>
    <col min="4" max="4" width="21.42578125" bestFit="1" customWidth="1"/>
    <col min="5" max="5" width="11.28515625" bestFit="1" customWidth="1"/>
    <col min="7" max="7" width="47.5703125" bestFit="1" customWidth="1"/>
    <col min="8" max="8" width="13.42578125" bestFit="1" customWidth="1"/>
    <col min="10" max="10" width="21.42578125" bestFit="1" customWidth="1"/>
    <col min="11" max="11" width="11.7109375" bestFit="1" customWidth="1"/>
    <col min="13" max="13" width="42.7109375" bestFit="1" customWidth="1"/>
    <col min="14" max="14" width="11.7109375" bestFit="1" customWidth="1"/>
    <col min="16" max="16" width="18.85546875" bestFit="1" customWidth="1"/>
    <col min="17" max="17" width="10.42578125" bestFit="1" customWidth="1"/>
    <col min="19" max="19" width="45.7109375" bestFit="1" customWidth="1"/>
    <col min="20" max="20" width="11.7109375" bestFit="1" customWidth="1"/>
    <col min="22" max="22" width="18.85546875" bestFit="1" customWidth="1"/>
    <col min="23" max="23" width="10" bestFit="1" customWidth="1"/>
  </cols>
  <sheetData>
    <row r="1" spans="1:4" x14ac:dyDescent="0.25">
      <c r="A1" s="1" t="s">
        <v>0</v>
      </c>
      <c r="B1" s="1" t="s">
        <v>1</v>
      </c>
      <c r="C1" s="1" t="s">
        <v>13</v>
      </c>
      <c r="D1" s="1" t="s">
        <v>15</v>
      </c>
    </row>
    <row r="2" spans="1:4" x14ac:dyDescent="0.25">
      <c r="A2" s="2" t="s">
        <v>11</v>
      </c>
      <c r="B2" s="6">
        <v>950</v>
      </c>
      <c r="C2" s="2" t="str">
        <f t="shared" ref="C2:C27" si="0">IF((COUNTIF($A$43:$A$57,A2)+COUNTIF($G$43:$G$57,A2)+COUNTIF($A$63:$A$77,A2)+COUNTIF($G$63:$G$77,A2)+COUNTIF($A$83:$A$97,A2))&gt;0,"Yes","No")</f>
        <v>Yes</v>
      </c>
      <c r="D2" s="2"/>
    </row>
    <row r="3" spans="1:4" x14ac:dyDescent="0.25">
      <c r="A3" s="2" t="s">
        <v>12</v>
      </c>
      <c r="B3" s="6">
        <v>950</v>
      </c>
      <c r="C3" s="2" t="str">
        <f t="shared" si="0"/>
        <v>Yes</v>
      </c>
      <c r="D3" s="2"/>
    </row>
    <row r="4" spans="1:4" x14ac:dyDescent="0.25">
      <c r="A4" s="2" t="s">
        <v>2</v>
      </c>
      <c r="B4" s="6">
        <v>160</v>
      </c>
      <c r="C4" s="2" t="str">
        <f t="shared" si="0"/>
        <v>Yes</v>
      </c>
      <c r="D4" s="2"/>
    </row>
    <row r="5" spans="1:4" x14ac:dyDescent="0.25">
      <c r="A5" s="2" t="s">
        <v>4</v>
      </c>
      <c r="B5" s="6">
        <v>175</v>
      </c>
      <c r="C5" s="2" t="str">
        <f t="shared" si="0"/>
        <v>Yes</v>
      </c>
      <c r="D5" s="2"/>
    </row>
    <row r="6" spans="1:4" x14ac:dyDescent="0.25">
      <c r="A6" s="2" t="s">
        <v>5</v>
      </c>
      <c r="B6" s="6">
        <v>175</v>
      </c>
      <c r="C6" s="2" t="str">
        <f t="shared" si="0"/>
        <v>Yes</v>
      </c>
      <c r="D6" s="2"/>
    </row>
    <row r="7" spans="1:4" x14ac:dyDescent="0.25">
      <c r="A7" s="2" t="s">
        <v>6</v>
      </c>
      <c r="B7" s="6">
        <v>175</v>
      </c>
      <c r="C7" s="2" t="str">
        <f t="shared" si="0"/>
        <v>Yes</v>
      </c>
      <c r="D7" s="2"/>
    </row>
    <row r="8" spans="1:4" x14ac:dyDescent="0.25">
      <c r="A8" s="2" t="s">
        <v>7</v>
      </c>
      <c r="B8" s="6">
        <v>175</v>
      </c>
      <c r="C8" s="2" t="str">
        <f t="shared" si="0"/>
        <v>Yes</v>
      </c>
      <c r="D8" s="2"/>
    </row>
    <row r="9" spans="1:4" x14ac:dyDescent="0.25">
      <c r="A9" s="2" t="s">
        <v>8</v>
      </c>
      <c r="B9" s="6">
        <v>180</v>
      </c>
      <c r="C9" s="2" t="str">
        <f t="shared" si="0"/>
        <v>Yes</v>
      </c>
      <c r="D9" s="2"/>
    </row>
    <row r="10" spans="1:4" x14ac:dyDescent="0.25">
      <c r="A10" s="2" t="s">
        <v>9</v>
      </c>
      <c r="B10" s="6">
        <v>1050</v>
      </c>
      <c r="C10" s="2" t="str">
        <f t="shared" si="0"/>
        <v>Yes</v>
      </c>
      <c r="D10" s="2"/>
    </row>
    <row r="11" spans="1:4" x14ac:dyDescent="0.25">
      <c r="A11" s="2" t="s">
        <v>10</v>
      </c>
      <c r="B11" s="6">
        <v>25</v>
      </c>
      <c r="C11" s="2" t="str">
        <f t="shared" si="0"/>
        <v>Yes</v>
      </c>
      <c r="D11" s="2"/>
    </row>
    <row r="12" spans="1:4" x14ac:dyDescent="0.25">
      <c r="A12" s="2" t="s">
        <v>14</v>
      </c>
      <c r="B12" s="6">
        <v>160</v>
      </c>
      <c r="C12" s="2" t="str">
        <f t="shared" si="0"/>
        <v>Yes</v>
      </c>
      <c r="D12" s="2"/>
    </row>
    <row r="13" spans="1:4" x14ac:dyDescent="0.25">
      <c r="A13" s="2" t="s">
        <v>16</v>
      </c>
      <c r="B13" s="6">
        <v>85</v>
      </c>
      <c r="C13" s="2" t="str">
        <f t="shared" si="0"/>
        <v>Yes</v>
      </c>
      <c r="D13" s="2"/>
    </row>
    <row r="14" spans="1:4" x14ac:dyDescent="0.25">
      <c r="A14" s="2" t="s">
        <v>21</v>
      </c>
      <c r="B14" s="6">
        <v>45</v>
      </c>
      <c r="C14" s="2" t="str">
        <f t="shared" si="0"/>
        <v>Yes</v>
      </c>
      <c r="D14" s="2"/>
    </row>
    <row r="15" spans="1:4" x14ac:dyDescent="0.25">
      <c r="A15" s="2" t="s">
        <v>31</v>
      </c>
      <c r="B15" s="6">
        <v>50</v>
      </c>
      <c r="C15" s="2" t="str">
        <f t="shared" si="0"/>
        <v>Yes</v>
      </c>
      <c r="D15" s="2"/>
    </row>
    <row r="16" spans="1:4" x14ac:dyDescent="0.25">
      <c r="A16" s="2" t="s">
        <v>32</v>
      </c>
      <c r="B16" s="6">
        <v>50</v>
      </c>
      <c r="C16" s="2" t="str">
        <f t="shared" si="0"/>
        <v>Yes</v>
      </c>
      <c r="D16" s="2"/>
    </row>
    <row r="17" spans="1:8" x14ac:dyDescent="0.25">
      <c r="A17" s="2" t="s">
        <v>24</v>
      </c>
      <c r="B17" s="6">
        <v>450</v>
      </c>
      <c r="C17" s="2" t="str">
        <f t="shared" si="0"/>
        <v>Yes</v>
      </c>
      <c r="D17" s="2"/>
    </row>
    <row r="18" spans="1:8" x14ac:dyDescent="0.25">
      <c r="A18" s="2" t="s">
        <v>25</v>
      </c>
      <c r="B18" s="6">
        <v>210</v>
      </c>
      <c r="C18" s="2" t="str">
        <f t="shared" si="0"/>
        <v>Yes</v>
      </c>
      <c r="D18" s="2"/>
    </row>
    <row r="19" spans="1:8" x14ac:dyDescent="0.25">
      <c r="A19" s="2" t="s">
        <v>26</v>
      </c>
      <c r="B19" s="6">
        <v>210</v>
      </c>
      <c r="C19" s="2" t="str">
        <f t="shared" si="0"/>
        <v>Yes</v>
      </c>
      <c r="D19" s="2"/>
    </row>
    <row r="20" spans="1:8" x14ac:dyDescent="0.25">
      <c r="A20" s="2" t="s">
        <v>33</v>
      </c>
      <c r="B20" s="6">
        <v>1200</v>
      </c>
      <c r="C20" s="2" t="str">
        <f t="shared" si="0"/>
        <v>Yes</v>
      </c>
      <c r="D20" s="2" t="s">
        <v>29</v>
      </c>
    </row>
    <row r="21" spans="1:8" x14ac:dyDescent="0.25">
      <c r="A21" s="2" t="s">
        <v>27</v>
      </c>
      <c r="B21" s="6">
        <v>800</v>
      </c>
      <c r="C21" s="2" t="str">
        <f t="shared" si="0"/>
        <v>Yes</v>
      </c>
      <c r="D21" s="2"/>
    </row>
    <row r="22" spans="1:8" x14ac:dyDescent="0.25">
      <c r="A22" s="2" t="s">
        <v>34</v>
      </c>
      <c r="B22" s="6">
        <v>1200</v>
      </c>
      <c r="C22" s="2" t="str">
        <f t="shared" si="0"/>
        <v>Yes</v>
      </c>
      <c r="D22" s="2" t="s">
        <v>29</v>
      </c>
    </row>
    <row r="23" spans="1:8" x14ac:dyDescent="0.25">
      <c r="A23" s="2"/>
      <c r="B23" s="6"/>
      <c r="C23" s="2" t="str">
        <f t="shared" si="0"/>
        <v>No</v>
      </c>
      <c r="D23" s="2"/>
    </row>
    <row r="24" spans="1:8" x14ac:dyDescent="0.25">
      <c r="A24" s="2"/>
      <c r="B24" s="6"/>
      <c r="C24" s="2" t="str">
        <f t="shared" si="0"/>
        <v>No</v>
      </c>
      <c r="D24" s="2"/>
    </row>
    <row r="25" spans="1:8" x14ac:dyDescent="0.25">
      <c r="A25" s="2"/>
      <c r="B25" s="6"/>
      <c r="C25" s="2" t="str">
        <f t="shared" si="0"/>
        <v>No</v>
      </c>
      <c r="D25" s="2"/>
      <c r="G25" s="13" t="s">
        <v>18</v>
      </c>
      <c r="H25" s="14">
        <v>230</v>
      </c>
    </row>
    <row r="26" spans="1:8" x14ac:dyDescent="0.25">
      <c r="A26" s="2"/>
      <c r="B26" s="6"/>
      <c r="C26" s="2" t="str">
        <f t="shared" si="0"/>
        <v>No</v>
      </c>
      <c r="D26" s="2"/>
      <c r="G26" s="13" t="s">
        <v>19</v>
      </c>
      <c r="H26" s="15">
        <v>16</v>
      </c>
    </row>
    <row r="27" spans="1:8" x14ac:dyDescent="0.25">
      <c r="A27" s="2"/>
      <c r="B27" s="6"/>
      <c r="C27" s="2" t="str">
        <f t="shared" si="0"/>
        <v>No</v>
      </c>
      <c r="D27" s="2"/>
      <c r="G27" s="13" t="s">
        <v>20</v>
      </c>
      <c r="H27" s="15">
        <f>0.7*H26</f>
        <v>11.2</v>
      </c>
    </row>
    <row r="28" spans="1:8" x14ac:dyDescent="0.25">
      <c r="G28" s="13" t="s">
        <v>30</v>
      </c>
      <c r="H28" s="16">
        <f>H25*H27</f>
        <v>2576</v>
      </c>
    </row>
    <row r="31" spans="1:8" x14ac:dyDescent="0.25">
      <c r="A31" s="18" t="s">
        <v>35</v>
      </c>
    </row>
    <row r="32" spans="1:8" x14ac:dyDescent="0.25">
      <c r="A32" s="19" t="s">
        <v>39</v>
      </c>
    </row>
    <row r="34" spans="1:11" x14ac:dyDescent="0.25">
      <c r="A34" s="18" t="s">
        <v>36</v>
      </c>
    </row>
    <row r="35" spans="1:11" x14ac:dyDescent="0.25">
      <c r="A35" s="19" t="s">
        <v>37</v>
      </c>
    </row>
    <row r="36" spans="1:11" x14ac:dyDescent="0.25">
      <c r="A36" s="19" t="s">
        <v>38</v>
      </c>
    </row>
    <row r="40" spans="1:11" x14ac:dyDescent="0.25">
      <c r="B40" s="1" t="s">
        <v>23</v>
      </c>
      <c r="H40" s="1" t="s">
        <v>23</v>
      </c>
    </row>
    <row r="41" spans="1:11" x14ac:dyDescent="0.25">
      <c r="A41" s="8">
        <v>200.1</v>
      </c>
      <c r="B41" s="9">
        <v>3</v>
      </c>
      <c r="G41" s="8">
        <v>120.3</v>
      </c>
      <c r="H41" s="9">
        <v>2</v>
      </c>
    </row>
    <row r="42" spans="1:11" x14ac:dyDescent="0.25">
      <c r="A42" s="4" t="s">
        <v>0</v>
      </c>
      <c r="B42" s="4" t="s">
        <v>1</v>
      </c>
      <c r="D42" s="5" t="s">
        <v>3</v>
      </c>
      <c r="E42" s="5">
        <f>COUNTA(A43:A57)</f>
        <v>5</v>
      </c>
      <c r="G42" s="4" t="s">
        <v>0</v>
      </c>
      <c r="H42" s="4" t="s">
        <v>1</v>
      </c>
      <c r="J42" s="5" t="s">
        <v>3</v>
      </c>
      <c r="K42" s="5">
        <f>COUNTA(G43:G57)</f>
        <v>7</v>
      </c>
    </row>
    <row r="43" spans="1:11" x14ac:dyDescent="0.25">
      <c r="A43" s="3" t="s">
        <v>14</v>
      </c>
      <c r="B43" s="7">
        <f>IF(A43="", 0, VLOOKUP(A43, $A$2:$B$27, 2, FALSE))</f>
        <v>160</v>
      </c>
      <c r="D43" s="10" t="s">
        <v>17</v>
      </c>
      <c r="E43" s="11">
        <f>SUM(B43:B57)</f>
        <v>1290</v>
      </c>
      <c r="G43" s="3" t="s">
        <v>11</v>
      </c>
      <c r="H43" s="7">
        <f t="shared" ref="H43:H57" si="1">IF(G43="", 0, VLOOKUP(G43, $A$2:$B$27, 2, FALSE))</f>
        <v>950</v>
      </c>
      <c r="J43" s="10" t="s">
        <v>17</v>
      </c>
      <c r="K43" s="11">
        <f>SUM(H43:H57)</f>
        <v>1725</v>
      </c>
    </row>
    <row r="44" spans="1:11" x14ac:dyDescent="0.25">
      <c r="A44" s="3" t="s">
        <v>16</v>
      </c>
      <c r="B44" s="7">
        <f t="shared" ref="B44:B57" si="2">IF(A44="", 0, VLOOKUP(A44, $A$2:$B$27, 2, FALSE))</f>
        <v>85</v>
      </c>
      <c r="D44" s="12" t="s">
        <v>22</v>
      </c>
      <c r="E44" s="17">
        <f>E43/$H$25</f>
        <v>5.6086956521739131</v>
      </c>
      <c r="G44" s="3" t="s">
        <v>31</v>
      </c>
      <c r="H44" s="7">
        <f t="shared" si="1"/>
        <v>50</v>
      </c>
      <c r="J44" s="12" t="s">
        <v>22</v>
      </c>
      <c r="K44" s="17">
        <f>K43/$H$25</f>
        <v>7.5</v>
      </c>
    </row>
    <row r="45" spans="1:11" x14ac:dyDescent="0.25">
      <c r="A45" s="3" t="s">
        <v>21</v>
      </c>
      <c r="B45" s="7">
        <f t="shared" si="2"/>
        <v>45</v>
      </c>
      <c r="G45" s="3" t="s">
        <v>4</v>
      </c>
      <c r="H45" s="7">
        <f t="shared" si="1"/>
        <v>175</v>
      </c>
    </row>
    <row r="46" spans="1:11" x14ac:dyDescent="0.25">
      <c r="A46" s="3" t="s">
        <v>12</v>
      </c>
      <c r="B46" s="7">
        <f t="shared" si="2"/>
        <v>950</v>
      </c>
      <c r="D46" s="1" t="s">
        <v>28</v>
      </c>
      <c r="E46" s="1">
        <f>IF(E42&lt;=B41,0,FLOOR(MIN(E42/B41,B41),1))</f>
        <v>1</v>
      </c>
      <c r="G46" s="3" t="s">
        <v>5</v>
      </c>
      <c r="H46" s="7">
        <f t="shared" si="1"/>
        <v>175</v>
      </c>
      <c r="J46" s="1" t="s">
        <v>28</v>
      </c>
      <c r="K46" s="1">
        <f>IF(K42&lt;=H41,0,FLOOR(MIN(K42/H41,H41),1))</f>
        <v>2</v>
      </c>
    </row>
    <row r="47" spans="1:11" x14ac:dyDescent="0.25">
      <c r="A47" s="3" t="s">
        <v>32</v>
      </c>
      <c r="B47" s="7">
        <f t="shared" si="2"/>
        <v>50</v>
      </c>
      <c r="G47" s="3" t="s">
        <v>6</v>
      </c>
      <c r="H47" s="7">
        <f t="shared" si="1"/>
        <v>175</v>
      </c>
    </row>
    <row r="48" spans="1:11" x14ac:dyDescent="0.25">
      <c r="A48" s="3"/>
      <c r="B48" s="7">
        <f>IF(A48="", 0, VLOOKUP(A48, $A$2:$B$27, 2, FALSE))</f>
        <v>0</v>
      </c>
      <c r="G48" s="3" t="s">
        <v>7</v>
      </c>
      <c r="H48" s="7">
        <f t="shared" si="1"/>
        <v>175</v>
      </c>
    </row>
    <row r="49" spans="1:11" x14ac:dyDescent="0.25">
      <c r="A49" s="3"/>
      <c r="B49" s="7">
        <f>IF(A49="", 0, VLOOKUP(A49, $A$2:$B$27, 2, FALSE))</f>
        <v>0</v>
      </c>
      <c r="G49" s="3" t="s">
        <v>10</v>
      </c>
      <c r="H49" s="7">
        <f t="shared" si="1"/>
        <v>25</v>
      </c>
    </row>
    <row r="50" spans="1:11" x14ac:dyDescent="0.25">
      <c r="A50" s="3"/>
      <c r="B50" s="7">
        <f>IF(A50="", 0, VLOOKUP(A50, $A$2:$B$27, 2, FALSE))</f>
        <v>0</v>
      </c>
      <c r="G50" s="3"/>
      <c r="H50" s="7">
        <f t="shared" si="1"/>
        <v>0</v>
      </c>
    </row>
    <row r="51" spans="1:11" x14ac:dyDescent="0.25">
      <c r="A51" s="3"/>
      <c r="B51" s="7">
        <f>IF(A51="", 0, VLOOKUP(A51, $A$2:$B$27, 2, FALSE))</f>
        <v>0</v>
      </c>
      <c r="G51" s="3"/>
      <c r="H51" s="7">
        <f t="shared" si="1"/>
        <v>0</v>
      </c>
    </row>
    <row r="52" spans="1:11" x14ac:dyDescent="0.25">
      <c r="A52" s="3"/>
      <c r="B52" s="7">
        <f t="shared" si="2"/>
        <v>0</v>
      </c>
      <c r="G52" s="3"/>
      <c r="H52" s="7">
        <f t="shared" si="1"/>
        <v>0</v>
      </c>
    </row>
    <row r="53" spans="1:11" x14ac:dyDescent="0.25">
      <c r="A53" s="3"/>
      <c r="B53" s="7">
        <f t="shared" si="2"/>
        <v>0</v>
      </c>
      <c r="G53" s="3"/>
      <c r="H53" s="7">
        <f t="shared" si="1"/>
        <v>0</v>
      </c>
    </row>
    <row r="54" spans="1:11" x14ac:dyDescent="0.25">
      <c r="A54" s="3"/>
      <c r="B54" s="7">
        <f t="shared" si="2"/>
        <v>0</v>
      </c>
      <c r="G54" s="3"/>
      <c r="H54" s="7">
        <f t="shared" si="1"/>
        <v>0</v>
      </c>
    </row>
    <row r="55" spans="1:11" x14ac:dyDescent="0.25">
      <c r="A55" s="3"/>
      <c r="B55" s="7">
        <f t="shared" si="2"/>
        <v>0</v>
      </c>
      <c r="G55" s="3"/>
      <c r="H55" s="7">
        <f t="shared" si="1"/>
        <v>0</v>
      </c>
    </row>
    <row r="56" spans="1:11" x14ac:dyDescent="0.25">
      <c r="A56" s="3"/>
      <c r="B56" s="7">
        <f t="shared" si="2"/>
        <v>0</v>
      </c>
      <c r="G56" s="3"/>
      <c r="H56" s="7">
        <f t="shared" si="1"/>
        <v>0</v>
      </c>
    </row>
    <row r="57" spans="1:11" x14ac:dyDescent="0.25">
      <c r="A57" s="3"/>
      <c r="B57" s="7">
        <f t="shared" si="2"/>
        <v>0</v>
      </c>
      <c r="G57" s="3"/>
      <c r="H57" s="7">
        <f t="shared" si="1"/>
        <v>0</v>
      </c>
    </row>
    <row r="60" spans="1:11" x14ac:dyDescent="0.25">
      <c r="B60" s="1" t="s">
        <v>23</v>
      </c>
      <c r="H60" s="1" t="s">
        <v>23</v>
      </c>
    </row>
    <row r="61" spans="1:11" x14ac:dyDescent="0.25">
      <c r="A61" s="8">
        <v>200.4</v>
      </c>
      <c r="B61" s="9">
        <v>2</v>
      </c>
      <c r="G61" s="8">
        <v>200.5</v>
      </c>
      <c r="H61" s="9">
        <v>4</v>
      </c>
    </row>
    <row r="62" spans="1:11" x14ac:dyDescent="0.25">
      <c r="A62" s="4" t="s">
        <v>0</v>
      </c>
      <c r="B62" s="4" t="s">
        <v>1</v>
      </c>
      <c r="D62" s="5" t="s">
        <v>3</v>
      </c>
      <c r="E62" s="5">
        <f>COUNTA(A63:A77)</f>
        <v>3</v>
      </c>
      <c r="G62" s="4" t="s">
        <v>0</v>
      </c>
      <c r="H62" s="4" t="s">
        <v>1</v>
      </c>
      <c r="J62" s="5" t="s">
        <v>3</v>
      </c>
      <c r="K62" s="5">
        <f>COUNTA(G63:G77)</f>
        <v>2</v>
      </c>
    </row>
    <row r="63" spans="1:11" x14ac:dyDescent="0.25">
      <c r="A63" s="3" t="s">
        <v>2</v>
      </c>
      <c r="B63" s="7">
        <f>IF(A63="", 0, VLOOKUP(A63, $A$2:$B$27, 2, FALSE))</f>
        <v>160</v>
      </c>
      <c r="D63" s="10" t="s">
        <v>17</v>
      </c>
      <c r="E63" s="11">
        <f>SUM(B63:B77)</f>
        <v>1390</v>
      </c>
      <c r="G63" s="3" t="s">
        <v>33</v>
      </c>
      <c r="H63" s="7">
        <f t="shared" ref="H63:H77" si="3">IF(G63="", 0, VLOOKUP(G63, $A$2:$B$27, 2, FALSE))</f>
        <v>1200</v>
      </c>
      <c r="J63" s="10" t="s">
        <v>17</v>
      </c>
      <c r="K63" s="11">
        <f>SUM(H63:H77)</f>
        <v>2400</v>
      </c>
    </row>
    <row r="64" spans="1:11" x14ac:dyDescent="0.25">
      <c r="A64" s="3" t="s">
        <v>8</v>
      </c>
      <c r="B64" s="7">
        <f t="shared" ref="B64:B77" si="4">IF(A64="", 0, VLOOKUP(A64, $A$2:$B$27, 2, FALSE))</f>
        <v>180</v>
      </c>
      <c r="D64" s="12" t="s">
        <v>22</v>
      </c>
      <c r="E64" s="17">
        <f>E63/$H$25</f>
        <v>6.0434782608695654</v>
      </c>
      <c r="G64" s="3" t="s">
        <v>34</v>
      </c>
      <c r="H64" s="7">
        <f t="shared" si="3"/>
        <v>1200</v>
      </c>
      <c r="J64" s="12" t="s">
        <v>22</v>
      </c>
      <c r="K64" s="17">
        <f>K63/$H$25</f>
        <v>10.434782608695652</v>
      </c>
    </row>
    <row r="65" spans="1:11" x14ac:dyDescent="0.25">
      <c r="A65" s="3" t="s">
        <v>9</v>
      </c>
      <c r="B65" s="7">
        <f t="shared" si="4"/>
        <v>1050</v>
      </c>
      <c r="G65" s="3"/>
      <c r="H65" s="7">
        <f t="shared" si="3"/>
        <v>0</v>
      </c>
    </row>
    <row r="66" spans="1:11" x14ac:dyDescent="0.25">
      <c r="A66" s="3"/>
      <c r="B66" s="7">
        <f t="shared" si="4"/>
        <v>0</v>
      </c>
      <c r="D66" s="1" t="s">
        <v>28</v>
      </c>
      <c r="E66" s="1">
        <f>IF(E62&lt;=B61,0,FLOOR(MIN(E62/B61,B61),1))</f>
        <v>1</v>
      </c>
      <c r="G66" s="3"/>
      <c r="H66" s="7">
        <f t="shared" si="3"/>
        <v>0</v>
      </c>
      <c r="J66" s="1" t="s">
        <v>28</v>
      </c>
      <c r="K66" s="1">
        <f>IF(K62&lt;=H61,0,FLOOR(MIN(K62/H61,H61),1))</f>
        <v>0</v>
      </c>
    </row>
    <row r="67" spans="1:11" x14ac:dyDescent="0.25">
      <c r="A67" s="3"/>
      <c r="B67" s="7">
        <f t="shared" si="4"/>
        <v>0</v>
      </c>
      <c r="G67" s="3"/>
      <c r="H67" s="7">
        <f t="shared" si="3"/>
        <v>0</v>
      </c>
    </row>
    <row r="68" spans="1:11" x14ac:dyDescent="0.25">
      <c r="A68" s="3"/>
      <c r="B68" s="7">
        <f t="shared" si="4"/>
        <v>0</v>
      </c>
      <c r="G68" s="3"/>
      <c r="H68" s="7">
        <f t="shared" si="3"/>
        <v>0</v>
      </c>
    </row>
    <row r="69" spans="1:11" x14ac:dyDescent="0.25">
      <c r="A69" s="3"/>
      <c r="B69" s="7">
        <f t="shared" si="4"/>
        <v>0</v>
      </c>
      <c r="G69" s="3"/>
      <c r="H69" s="7">
        <f t="shared" si="3"/>
        <v>0</v>
      </c>
    </row>
    <row r="70" spans="1:11" x14ac:dyDescent="0.25">
      <c r="A70" s="3"/>
      <c r="B70" s="7">
        <f t="shared" si="4"/>
        <v>0</v>
      </c>
      <c r="G70" s="3"/>
      <c r="H70" s="7">
        <f t="shared" si="3"/>
        <v>0</v>
      </c>
    </row>
    <row r="71" spans="1:11" x14ac:dyDescent="0.25">
      <c r="A71" s="3"/>
      <c r="B71" s="7">
        <f t="shared" si="4"/>
        <v>0</v>
      </c>
      <c r="G71" s="3"/>
      <c r="H71" s="7">
        <f t="shared" si="3"/>
        <v>0</v>
      </c>
    </row>
    <row r="72" spans="1:11" x14ac:dyDescent="0.25">
      <c r="A72" s="3"/>
      <c r="B72" s="7">
        <f t="shared" si="4"/>
        <v>0</v>
      </c>
      <c r="G72" s="3"/>
      <c r="H72" s="7">
        <f t="shared" si="3"/>
        <v>0</v>
      </c>
    </row>
    <row r="73" spans="1:11" x14ac:dyDescent="0.25">
      <c r="A73" s="3"/>
      <c r="B73" s="7">
        <f t="shared" si="4"/>
        <v>0</v>
      </c>
      <c r="G73" s="3"/>
      <c r="H73" s="7">
        <f t="shared" si="3"/>
        <v>0</v>
      </c>
    </row>
    <row r="74" spans="1:11" x14ac:dyDescent="0.25">
      <c r="A74" s="3"/>
      <c r="B74" s="7">
        <f t="shared" si="4"/>
        <v>0</v>
      </c>
      <c r="G74" s="3"/>
      <c r="H74" s="7">
        <f t="shared" si="3"/>
        <v>0</v>
      </c>
    </row>
    <row r="75" spans="1:11" x14ac:dyDescent="0.25">
      <c r="A75" s="3"/>
      <c r="B75" s="7">
        <f t="shared" si="4"/>
        <v>0</v>
      </c>
      <c r="G75" s="3"/>
      <c r="H75" s="7">
        <f t="shared" si="3"/>
        <v>0</v>
      </c>
    </row>
    <row r="76" spans="1:11" x14ac:dyDescent="0.25">
      <c r="A76" s="3"/>
      <c r="B76" s="7">
        <f t="shared" si="4"/>
        <v>0</v>
      </c>
      <c r="G76" s="3"/>
      <c r="H76" s="7">
        <f t="shared" si="3"/>
        <v>0</v>
      </c>
    </row>
    <row r="77" spans="1:11" x14ac:dyDescent="0.25">
      <c r="A77" s="3"/>
      <c r="B77" s="7">
        <f t="shared" si="4"/>
        <v>0</v>
      </c>
      <c r="G77" s="3"/>
      <c r="H77" s="7">
        <f t="shared" si="3"/>
        <v>0</v>
      </c>
    </row>
    <row r="80" spans="1:11" x14ac:dyDescent="0.25">
      <c r="B80" s="1" t="s">
        <v>23</v>
      </c>
    </row>
    <row r="81" spans="1:5" x14ac:dyDescent="0.25">
      <c r="A81" s="8">
        <v>200.6</v>
      </c>
      <c r="B81" s="9">
        <v>2</v>
      </c>
    </row>
    <row r="82" spans="1:5" x14ac:dyDescent="0.25">
      <c r="A82" s="4" t="s">
        <v>0</v>
      </c>
      <c r="B82" s="4" t="s">
        <v>1</v>
      </c>
      <c r="D82" s="5" t="s">
        <v>3</v>
      </c>
      <c r="E82" s="5">
        <f>COUNTA(A83:A97)</f>
        <v>4</v>
      </c>
    </row>
    <row r="83" spans="1:5" x14ac:dyDescent="0.25">
      <c r="A83" s="3" t="s">
        <v>27</v>
      </c>
      <c r="B83" s="7">
        <f>IF(A83="", 0, VLOOKUP(A83, $A$2:$B$27, 2, FALSE))</f>
        <v>800</v>
      </c>
      <c r="D83" s="10" t="s">
        <v>17</v>
      </c>
      <c r="E83" s="11">
        <f>SUM(B83:B97)</f>
        <v>1670</v>
      </c>
    </row>
    <row r="84" spans="1:5" x14ac:dyDescent="0.25">
      <c r="A84" s="3" t="s">
        <v>24</v>
      </c>
      <c r="B84" s="7">
        <f t="shared" ref="B84:B97" si="5">IF(A84="", 0, VLOOKUP(A84, $A$2:$B$27, 2, FALSE))</f>
        <v>450</v>
      </c>
      <c r="D84" s="12" t="s">
        <v>22</v>
      </c>
      <c r="E84" s="17">
        <f>E83/$H$25</f>
        <v>7.2608695652173916</v>
      </c>
    </row>
    <row r="85" spans="1:5" x14ac:dyDescent="0.25">
      <c r="A85" s="3" t="s">
        <v>25</v>
      </c>
      <c r="B85" s="7">
        <f t="shared" si="5"/>
        <v>210</v>
      </c>
    </row>
    <row r="86" spans="1:5" x14ac:dyDescent="0.25">
      <c r="A86" s="3" t="s">
        <v>26</v>
      </c>
      <c r="B86" s="7">
        <f t="shared" si="5"/>
        <v>210</v>
      </c>
      <c r="D86" s="1" t="s">
        <v>28</v>
      </c>
      <c r="E86" s="1">
        <f>IF(E82&lt;=B81,0,FLOOR(MIN(E82/B81,B81),1))</f>
        <v>2</v>
      </c>
    </row>
    <row r="87" spans="1:5" x14ac:dyDescent="0.25">
      <c r="A87" s="3"/>
      <c r="B87" s="7">
        <f t="shared" si="5"/>
        <v>0</v>
      </c>
    </row>
    <row r="88" spans="1:5" x14ac:dyDescent="0.25">
      <c r="A88" s="3"/>
      <c r="B88" s="7">
        <f t="shared" si="5"/>
        <v>0</v>
      </c>
    </row>
    <row r="89" spans="1:5" x14ac:dyDescent="0.25">
      <c r="A89" s="3"/>
      <c r="B89" s="7">
        <f t="shared" si="5"/>
        <v>0</v>
      </c>
    </row>
    <row r="90" spans="1:5" x14ac:dyDescent="0.25">
      <c r="A90" s="3"/>
      <c r="B90" s="7">
        <f t="shared" si="5"/>
        <v>0</v>
      </c>
    </row>
    <row r="91" spans="1:5" x14ac:dyDescent="0.25">
      <c r="A91" s="3"/>
      <c r="B91" s="7">
        <f t="shared" si="5"/>
        <v>0</v>
      </c>
    </row>
    <row r="92" spans="1:5" x14ac:dyDescent="0.25">
      <c r="A92" s="3"/>
      <c r="B92" s="7">
        <f t="shared" si="5"/>
        <v>0</v>
      </c>
    </row>
    <row r="93" spans="1:5" x14ac:dyDescent="0.25">
      <c r="A93" s="3"/>
      <c r="B93" s="7">
        <f t="shared" si="5"/>
        <v>0</v>
      </c>
    </row>
    <row r="94" spans="1:5" x14ac:dyDescent="0.25">
      <c r="A94" s="3"/>
      <c r="B94" s="7">
        <f t="shared" si="5"/>
        <v>0</v>
      </c>
    </row>
    <row r="95" spans="1:5" x14ac:dyDescent="0.25">
      <c r="A95" s="3"/>
      <c r="B95" s="7">
        <f t="shared" si="5"/>
        <v>0</v>
      </c>
    </row>
    <row r="96" spans="1:5" x14ac:dyDescent="0.25">
      <c r="A96" s="3"/>
      <c r="B96" s="7">
        <f t="shared" si="5"/>
        <v>0</v>
      </c>
    </row>
    <row r="97" spans="1:2" x14ac:dyDescent="0.25">
      <c r="A97" s="3"/>
      <c r="B97" s="7">
        <f t="shared" si="5"/>
        <v>0</v>
      </c>
    </row>
  </sheetData>
  <conditionalFormatting sqref="C2:C27">
    <cfRule type="cellIs" dxfId="6" priority="1" operator="equal">
      <formula>"No"</formula>
    </cfRule>
    <cfRule type="cellIs" dxfId="5" priority="2" operator="equal">
      <formula>"Yes"</formula>
    </cfRule>
  </conditionalFormatting>
  <conditionalFormatting sqref="E44">
    <cfRule type="cellIs" dxfId="4" priority="7" operator="greaterThanOrEqual">
      <formula>$H$27</formula>
    </cfRule>
  </conditionalFormatting>
  <conditionalFormatting sqref="E64">
    <cfRule type="cellIs" dxfId="3" priority="5" operator="greaterThanOrEqual">
      <formula>$H$27</formula>
    </cfRule>
  </conditionalFormatting>
  <conditionalFormatting sqref="E84">
    <cfRule type="cellIs" dxfId="2" priority="3" operator="greaterThanOrEqual">
      <formula>$H$27</formula>
    </cfRule>
  </conditionalFormatting>
  <conditionalFormatting sqref="K44">
    <cfRule type="cellIs" dxfId="1" priority="6" operator="greaterThanOrEqual">
      <formula>$H$27</formula>
    </cfRule>
  </conditionalFormatting>
  <conditionalFormatting sqref="K64">
    <cfRule type="cellIs" dxfId="0" priority="4" operator="greaterThanOrEqual">
      <formula>$H$27</formula>
    </cfRule>
  </conditionalFormatting>
  <dataValidations count="1">
    <dataValidation type="list" allowBlank="1" showInputMessage="1" showErrorMessage="1" promptTitle="Select Component" sqref="A43:A57 G43:G57 A63:A77 G63:G77 A83:A97" xr:uid="{D0693460-898E-4E5D-B2B7-72025AA7C7E3}">
      <formula1>$A$2:$A$27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36A859-0771-4440-B04F-4A34611FDB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Zoe McFife</dc:creator>
  <cp:keywords/>
  <dc:description/>
  <cp:lastModifiedBy>Zoe McFife</cp:lastModifiedBy>
  <cp:revision/>
  <dcterms:created xsi:type="dcterms:W3CDTF">2025-10-17T14:25:24Z</dcterms:created>
  <dcterms:modified xsi:type="dcterms:W3CDTF">2025-10-18T14:53:39Z</dcterms:modified>
  <cp:category/>
  <cp:contentStatus/>
</cp:coreProperties>
</file>